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yuyang/Downloads/"/>
    </mc:Choice>
  </mc:AlternateContent>
  <xr:revisionPtr revIDLastSave="0" documentId="8_{063FBF00-88A1-344D-93C2-D94DD6A363FF}" xr6:coauthVersionLast="47" xr6:coauthVersionMax="47" xr10:uidLastSave="{00000000-0000-0000-0000-000000000000}"/>
  <bookViews>
    <workbookView xWindow="1560" yWindow="600" windowWidth="49640" windowHeight="28200" xr2:uid="{F3333C26-BDF7-466F-8921-F3ADD109F371}"/>
  </bookViews>
  <sheets>
    <sheet name="AGV能力計算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4" l="1"/>
  <c r="C7" i="4"/>
  <c r="K3" i="4" s="1"/>
  <c r="G3" i="4"/>
  <c r="G12" i="4" s="1"/>
  <c r="G13" i="4" s="1"/>
  <c r="C4" i="4"/>
  <c r="G6" i="4"/>
  <c r="G15" i="4" l="1"/>
  <c r="G16" i="4" s="1"/>
  <c r="G19" i="4" l="1"/>
  <c r="K4" i="4" s="1"/>
  <c r="G17" i="4"/>
  <c r="G18" i="4" s="1"/>
  <c r="K7" i="4" l="1"/>
  <c r="K5" i="4"/>
  <c r="K6" i="4"/>
</calcChain>
</file>

<file path=xl/sharedStrings.xml><?xml version="1.0" encoding="utf-8"?>
<sst xmlns="http://schemas.openxmlformats.org/spreadsheetml/2006/main" count="66" uniqueCount="55">
  <si>
    <t>稼働時間</t>
    <rPh sb="0" eb="4">
      <t>カドウジカン</t>
    </rPh>
    <phoneticPr fontId="1"/>
  </si>
  <si>
    <t>h</t>
    <phoneticPr fontId="1"/>
  </si>
  <si>
    <t>■計算結果</t>
  </si>
  <si>
    <t>■入力項目</t>
  </si>
  <si>
    <t>カタログ最高速度</t>
    <rPh sb="4" eb="8">
      <t>サイコウソクド</t>
    </rPh>
    <phoneticPr fontId="1"/>
  </si>
  <si>
    <t>実運用係数</t>
    <rPh sb="0" eb="3">
      <t>ジツウンヨウ</t>
    </rPh>
    <rPh sb="3" eb="5">
      <t>ケイスウ</t>
    </rPh>
    <phoneticPr fontId="1"/>
  </si>
  <si>
    <t>m</t>
    <phoneticPr fontId="1"/>
  </si>
  <si>
    <t>km/h</t>
    <phoneticPr fontId="1"/>
  </si>
  <si>
    <t>回</t>
    <rPh sb="0" eb="1">
      <t>カイ</t>
    </rPh>
    <phoneticPr fontId="1"/>
  </si>
  <si>
    <t>秒</t>
    <rPh sb="0" eb="1">
      <t>ビョウ</t>
    </rPh>
    <phoneticPr fontId="1"/>
  </si>
  <si>
    <t>％</t>
    <phoneticPr fontId="1"/>
  </si>
  <si>
    <t>分</t>
    <rPh sb="0" eb="1">
      <t>フン</t>
    </rPh>
    <phoneticPr fontId="1"/>
  </si>
  <si>
    <t>m/min</t>
    <phoneticPr fontId="1"/>
  </si>
  <si>
    <t>往復/時</t>
    <rPh sb="0" eb="2">
      <t>オウフク</t>
    </rPh>
    <rPh sb="3" eb="4">
      <t>ジ</t>
    </rPh>
    <phoneticPr fontId="1"/>
  </si>
  <si>
    <t xml:space="preserve">片道距離 </t>
    <phoneticPr fontId="1"/>
  </si>
  <si>
    <t xml:space="preserve">片道停止回数 </t>
    <phoneticPr fontId="1"/>
  </si>
  <si>
    <t xml:space="preserve">1回あたり停止ロス </t>
    <phoneticPr fontId="1"/>
  </si>
  <si>
    <t xml:space="preserve">往復距離 </t>
    <phoneticPr fontId="1"/>
  </si>
  <si>
    <t xml:space="preserve">停止ロス時間 </t>
    <phoneticPr fontId="1"/>
  </si>
  <si>
    <t xml:space="preserve">徐行ロス時間 </t>
    <phoneticPr fontId="1"/>
  </si>
  <si>
    <t xml:space="preserve">往復所要時間 </t>
    <phoneticPr fontId="1"/>
  </si>
  <si>
    <t xml:space="preserve">平均速度 </t>
    <phoneticPr fontId="1"/>
  </si>
  <si>
    <t xml:space="preserve">処理能力 </t>
    <phoneticPr fontId="1"/>
  </si>
  <si>
    <t>分/回</t>
    <rPh sb="0" eb="1">
      <t>フン</t>
    </rPh>
    <rPh sb="2" eb="3">
      <t>カイ</t>
    </rPh>
    <phoneticPr fontId="1"/>
  </si>
  <si>
    <t>◆入力項目</t>
    <rPh sb="1" eb="5">
      <t>ニュウリョクコウモク</t>
    </rPh>
    <phoneticPr fontId="1"/>
  </si>
  <si>
    <t>片道距離</t>
    <rPh sb="0" eb="4">
      <t>カタミチキョリ</t>
    </rPh>
    <phoneticPr fontId="1"/>
  </si>
  <si>
    <t>往復距離</t>
    <rPh sb="0" eb="2">
      <t>オウフク</t>
    </rPh>
    <rPh sb="2" eb="4">
      <t>キョリ</t>
    </rPh>
    <phoneticPr fontId="1"/>
  </si>
  <si>
    <t>1時間あたりの搬送回数</t>
    <rPh sb="1" eb="3">
      <t>ジカン</t>
    </rPh>
    <rPh sb="7" eb="11">
      <t>ハンソウカイスウ</t>
    </rPh>
    <phoneticPr fontId="1"/>
  </si>
  <si>
    <t>1日の搬送回数</t>
    <rPh sb="1" eb="2">
      <t>ヒ</t>
    </rPh>
    <rPh sb="3" eb="7">
      <t>ハンソウカイスウ</t>
    </rPh>
    <phoneticPr fontId="1"/>
  </si>
  <si>
    <t>★必要台数</t>
    <rPh sb="1" eb="5">
      <t>ヒツヨウダイスウ</t>
    </rPh>
    <phoneticPr fontId="1"/>
  </si>
  <si>
    <t>回/h</t>
    <rPh sb="0" eb="1">
      <t>カイ</t>
    </rPh>
    <phoneticPr fontId="1"/>
  </si>
  <si>
    <t>回/h</t>
    <phoneticPr fontId="1"/>
  </si>
  <si>
    <t>必要処理能力
（1hあたりの希望搬送回数）</t>
    <rPh sb="0" eb="6">
      <t>ヒツヨウショリノウリョク</t>
    </rPh>
    <rPh sb="14" eb="16">
      <t>キボウ</t>
    </rPh>
    <rPh sb="16" eb="20">
      <t>ハンソウカイスウ</t>
    </rPh>
    <phoneticPr fontId="1"/>
  </si>
  <si>
    <t>回/ｈ</t>
    <rPh sb="0" eb="1">
      <t>カイ</t>
    </rPh>
    <phoneticPr fontId="1"/>
  </si>
  <si>
    <t>台</t>
    <rPh sb="0" eb="1">
      <t>ダイ</t>
    </rPh>
    <phoneticPr fontId="1"/>
  </si>
  <si>
    <t>必要台数（標準）</t>
    <rPh sb="0" eb="4">
      <t>ヒツヨウダイスウ</t>
    </rPh>
    <rPh sb="5" eb="7">
      <t>ヒョウジュン</t>
    </rPh>
    <phoneticPr fontId="1"/>
  </si>
  <si>
    <t>必要台数（人混在）</t>
    <rPh sb="5" eb="6">
      <t>ヒト</t>
    </rPh>
    <rPh sb="6" eb="8">
      <t>コンザイ</t>
    </rPh>
    <phoneticPr fontId="1"/>
  </si>
  <si>
    <t>必要台数（将来増設あり）</t>
    <rPh sb="5" eb="7">
      <t>ショウライ</t>
    </rPh>
    <rPh sb="7" eb="9">
      <t>ゾウセツ</t>
    </rPh>
    <phoneticPr fontId="1"/>
  </si>
  <si>
    <t>※余裕率</t>
    <rPh sb="1" eb="4">
      <t>ヨユウリツ</t>
    </rPh>
    <phoneticPr fontId="1"/>
  </si>
  <si>
    <t>標準</t>
    <rPh sb="0" eb="2">
      <t>ヒョウジュン</t>
    </rPh>
    <phoneticPr fontId="1"/>
  </si>
  <si>
    <t>人混在</t>
    <rPh sb="0" eb="1">
      <t>ヒト</t>
    </rPh>
    <rPh sb="1" eb="3">
      <t>コンザイ</t>
    </rPh>
    <phoneticPr fontId="1"/>
  </si>
  <si>
    <t>将来増設あり</t>
    <rPh sb="0" eb="2">
      <t>ショウライ</t>
    </rPh>
    <rPh sb="2" eb="4">
      <t>ゾウセツ</t>
    </rPh>
    <phoneticPr fontId="1"/>
  </si>
  <si>
    <t>現場では様々なトラブルなどあり平均値のみでは破綻しやすい。</t>
    <rPh sb="0" eb="2">
      <t>ゲンバ</t>
    </rPh>
    <rPh sb="4" eb="6">
      <t>サマザマ</t>
    </rPh>
    <rPh sb="15" eb="18">
      <t>ヘイキンチ</t>
    </rPh>
    <rPh sb="22" eb="24">
      <t>ハタン</t>
    </rPh>
    <phoneticPr fontId="1"/>
  </si>
  <si>
    <t>目安</t>
    <rPh sb="0" eb="2">
      <t>メヤス</t>
    </rPh>
    <phoneticPr fontId="1"/>
  </si>
  <si>
    <t>現場条件</t>
  </si>
  <si>
    <t>余裕率</t>
  </si>
  <si>
    <t>無人・直線中心</t>
  </si>
  <si>
    <t>一般工場</t>
  </si>
  <si>
    <t>人混在・交差多</t>
  </si>
  <si>
    <t>不確定要素多</t>
  </si>
  <si>
    <t>AGV処理能力</t>
    <rPh sb="3" eb="7">
      <t>ショリノウリョク</t>
    </rPh>
    <phoneticPr fontId="1"/>
  </si>
  <si>
    <t xml:space="preserve">平均最高速度 </t>
    <rPh sb="0" eb="2">
      <t>ヘイキン</t>
    </rPh>
    <phoneticPr fontId="1"/>
  </si>
  <si>
    <t>AGV処理能力はあくまで平均値からの算出なため</t>
    <rPh sb="3" eb="7">
      <t>ショリノウリョク</t>
    </rPh>
    <rPh sb="12" eb="15">
      <t>ヘイキンチ</t>
    </rPh>
    <rPh sb="18" eb="20">
      <t>サンシュツ</t>
    </rPh>
    <phoneticPr fontId="1"/>
  </si>
  <si>
    <t xml:space="preserve">理論往復走行時間 </t>
    <rPh sb="2" eb="4">
      <t>オウフク</t>
    </rPh>
    <phoneticPr fontId="1"/>
  </si>
  <si>
    <t xml:space="preserve">徐行・減速ロス率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</si>
</sst>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  <font>
      <b/>
      <sz val="11"/>
      <color theme="1"/>
      <name val="Aptos Narrow"/>
      <family val="3"/>
      <charset val="128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4">
    <xf numFmtId="0" fontId="0" fillId="0" borderId="0" xfId="0">
      <alignment vertical="center"/>
    </xf>
    <xf numFmtId="0" fontId="3" fillId="0" borderId="0" xfId="1"/>
    <xf numFmtId="0" fontId="3" fillId="0" borderId="0" xfId="1" applyAlignment="1">
      <alignment vertical="center"/>
    </xf>
    <xf numFmtId="0" fontId="3" fillId="0" borderId="0" xfId="1" applyAlignment="1">
      <alignment horizontal="center" vertical="center"/>
    </xf>
    <xf numFmtId="0" fontId="3" fillId="0" borderId="1" xfId="1" applyBorder="1" applyAlignment="1">
      <alignment vertical="center"/>
    </xf>
    <xf numFmtId="0" fontId="3" fillId="0" borderId="2" xfId="1" applyBorder="1" applyAlignment="1">
      <alignment horizontal="center" vertical="center"/>
    </xf>
    <xf numFmtId="0" fontId="3" fillId="0" borderId="3" xfId="1" applyBorder="1" applyAlignment="1">
      <alignment vertical="center"/>
    </xf>
    <xf numFmtId="0" fontId="3" fillId="0" borderId="5" xfId="1" applyBorder="1" applyAlignment="1">
      <alignment vertical="center"/>
    </xf>
    <xf numFmtId="0" fontId="3" fillId="0" borderId="4" xfId="1" applyBorder="1" applyAlignment="1">
      <alignment vertical="center"/>
    </xf>
    <xf numFmtId="2" fontId="3" fillId="0" borderId="6" xfId="1" applyNumberFormat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3" fillId="0" borderId="7" xfId="1" applyBorder="1" applyAlignment="1">
      <alignment vertical="center" wrapText="1"/>
    </xf>
    <xf numFmtId="0" fontId="3" fillId="0" borderId="8" xfId="1" applyBorder="1" applyAlignment="1">
      <alignment vertical="center"/>
    </xf>
    <xf numFmtId="0" fontId="3" fillId="0" borderId="7" xfId="1" applyBorder="1" applyAlignment="1">
      <alignment vertical="center"/>
    </xf>
    <xf numFmtId="0" fontId="3" fillId="0" borderId="9" xfId="1" applyBorder="1" applyAlignment="1">
      <alignment vertical="center"/>
    </xf>
    <xf numFmtId="0" fontId="3" fillId="0" borderId="10" xfId="1" applyBorder="1" applyAlignment="1">
      <alignment horizontal="center" vertical="center"/>
    </xf>
    <xf numFmtId="0" fontId="3" fillId="0" borderId="11" xfId="1" applyBorder="1" applyAlignment="1">
      <alignment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2" fontId="3" fillId="2" borderId="6" xfId="1" applyNumberFormat="1" applyFill="1" applyBorder="1" applyAlignment="1">
      <alignment horizontal="center" vertical="center"/>
    </xf>
    <xf numFmtId="2" fontId="3" fillId="3" borderId="10" xfId="1" applyNumberFormat="1" applyFill="1" applyBorder="1" applyAlignment="1">
      <alignment horizontal="center" vertical="center"/>
    </xf>
    <xf numFmtId="2" fontId="3" fillId="0" borderId="10" xfId="1" applyNumberFormat="1" applyBorder="1" applyAlignment="1">
      <alignment horizontal="center" vertical="center"/>
    </xf>
    <xf numFmtId="0" fontId="3" fillId="0" borderId="0" xfId="1" applyAlignment="1">
      <alignment horizontal="center"/>
    </xf>
    <xf numFmtId="0" fontId="3" fillId="0" borderId="1" xfId="1" applyBorder="1"/>
    <xf numFmtId="0" fontId="3" fillId="0" borderId="3" xfId="1" applyBorder="1"/>
    <xf numFmtId="0" fontId="3" fillId="0" borderId="7" xfId="1" applyBorder="1"/>
    <xf numFmtId="0" fontId="3" fillId="0" borderId="8" xfId="1" applyBorder="1"/>
    <xf numFmtId="0" fontId="3" fillId="0" borderId="9" xfId="1" applyBorder="1"/>
    <xf numFmtId="0" fontId="3" fillId="0" borderId="11" xfId="1" applyBorder="1"/>
  </cellXfs>
  <cellStyles count="2">
    <cellStyle name="Normal" xfId="0" builtinId="0"/>
    <cellStyle name="標準 2" xfId="1" xr:uid="{8E706EEC-C710-4307-A3B0-475C63A9AF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657F-1782-4E7A-A3CF-76061439A56E}">
  <dimension ref="B1:L22"/>
  <sheetViews>
    <sheetView tabSelected="1" zoomScale="167" zoomScaleNormal="167" workbookViewId="0">
      <selection activeCell="J29" sqref="J29"/>
    </sheetView>
  </sheetViews>
  <sheetFormatPr baseColWidth="10" defaultColWidth="8.6640625" defaultRowHeight="15" x14ac:dyDescent="0.2"/>
  <cols>
    <col min="1" max="1" width="8.6640625" style="1"/>
    <col min="2" max="2" width="21.1640625" style="1" bestFit="1" customWidth="1"/>
    <col min="3" max="3" width="13.33203125" style="3" bestFit="1" customWidth="1"/>
    <col min="4" max="5" width="8.6640625" style="1"/>
    <col min="6" max="6" width="18.83203125" style="2" bestFit="1" customWidth="1"/>
    <col min="7" max="7" width="8.6640625" style="27"/>
    <col min="8" max="8" width="8.6640625" style="2"/>
    <col min="9" max="9" width="8.6640625" style="1"/>
    <col min="10" max="10" width="25.5" style="1" bestFit="1" customWidth="1"/>
    <col min="11" max="16384" width="8.6640625" style="1"/>
  </cols>
  <sheetData>
    <row r="1" spans="2:12" ht="16" thickBot="1" x14ac:dyDescent="0.25"/>
    <row r="2" spans="2:12" x14ac:dyDescent="0.2">
      <c r="B2" s="28" t="s">
        <v>24</v>
      </c>
      <c r="C2" s="5"/>
      <c r="D2" s="29"/>
      <c r="F2" s="4" t="s">
        <v>3</v>
      </c>
      <c r="G2" s="5"/>
      <c r="H2" s="6"/>
      <c r="J2" s="4" t="s">
        <v>29</v>
      </c>
      <c r="K2" s="5"/>
      <c r="L2" s="6"/>
    </row>
    <row r="3" spans="2:12" ht="32" x14ac:dyDescent="0.2">
      <c r="B3" s="30" t="s">
        <v>25</v>
      </c>
      <c r="C3" s="10">
        <v>50</v>
      </c>
      <c r="D3" s="31" t="s">
        <v>6</v>
      </c>
      <c r="F3" s="13" t="s">
        <v>14</v>
      </c>
      <c r="G3" s="10">
        <f>C3</f>
        <v>50</v>
      </c>
      <c r="H3" s="12" t="s">
        <v>6</v>
      </c>
      <c r="J3" s="11" t="s">
        <v>32</v>
      </c>
      <c r="K3" s="9">
        <f>C7</f>
        <v>7.6923076923076925</v>
      </c>
      <c r="L3" s="12" t="s">
        <v>31</v>
      </c>
    </row>
    <row r="4" spans="2:12" x14ac:dyDescent="0.2">
      <c r="B4" s="30" t="s">
        <v>26</v>
      </c>
      <c r="C4" s="10">
        <f>C3*2</f>
        <v>100</v>
      </c>
      <c r="D4" s="31" t="s">
        <v>6</v>
      </c>
      <c r="F4" s="13" t="s">
        <v>4</v>
      </c>
      <c r="G4" s="10">
        <v>3</v>
      </c>
      <c r="H4" s="12" t="s">
        <v>7</v>
      </c>
      <c r="J4" s="13" t="s">
        <v>50</v>
      </c>
      <c r="K4" s="9">
        <f>G19</f>
        <v>15.882352941176471</v>
      </c>
      <c r="L4" s="12" t="s">
        <v>33</v>
      </c>
    </row>
    <row r="5" spans="2:12" x14ac:dyDescent="0.2">
      <c r="B5" s="30" t="s">
        <v>0</v>
      </c>
      <c r="C5" s="10">
        <v>13</v>
      </c>
      <c r="D5" s="31" t="s">
        <v>1</v>
      </c>
      <c r="F5" s="13" t="s">
        <v>5</v>
      </c>
      <c r="G5" s="10">
        <v>0.9</v>
      </c>
      <c r="H5" s="12"/>
      <c r="J5" s="13" t="s">
        <v>35</v>
      </c>
      <c r="K5" s="10">
        <f>CEILING(K3/K4*1.1,1)</f>
        <v>1</v>
      </c>
      <c r="L5" s="12" t="s">
        <v>34</v>
      </c>
    </row>
    <row r="6" spans="2:12" x14ac:dyDescent="0.2">
      <c r="B6" s="30" t="s">
        <v>28</v>
      </c>
      <c r="C6" s="10">
        <v>100</v>
      </c>
      <c r="D6" s="31" t="s">
        <v>8</v>
      </c>
      <c r="F6" s="13" t="s">
        <v>51</v>
      </c>
      <c r="G6" s="10">
        <f>G4*G5</f>
        <v>2.7</v>
      </c>
      <c r="H6" s="12" t="s">
        <v>7</v>
      </c>
      <c r="J6" s="13" t="s">
        <v>36</v>
      </c>
      <c r="K6" s="10">
        <f>CEILING(K3/K4*1.2,1)</f>
        <v>1</v>
      </c>
      <c r="L6" s="12" t="s">
        <v>34</v>
      </c>
    </row>
    <row r="7" spans="2:12" ht="16" thickBot="1" x14ac:dyDescent="0.25">
      <c r="B7" s="32" t="s">
        <v>27</v>
      </c>
      <c r="C7" s="26">
        <f>C6/C5</f>
        <v>7.6923076923076925</v>
      </c>
      <c r="D7" s="33" t="s">
        <v>30</v>
      </c>
      <c r="F7" s="13" t="s">
        <v>15</v>
      </c>
      <c r="G7" s="10">
        <v>2</v>
      </c>
      <c r="H7" s="12" t="s">
        <v>8</v>
      </c>
      <c r="J7" s="14" t="s">
        <v>37</v>
      </c>
      <c r="K7" s="15">
        <f>CEILING(K3/K4*1.3,1)</f>
        <v>1</v>
      </c>
      <c r="L7" s="16" t="s">
        <v>34</v>
      </c>
    </row>
    <row r="8" spans="2:12" x14ac:dyDescent="0.2">
      <c r="F8" s="13" t="s">
        <v>16</v>
      </c>
      <c r="G8" s="10">
        <v>15</v>
      </c>
      <c r="H8" s="12" t="s">
        <v>9</v>
      </c>
    </row>
    <row r="9" spans="2:12" x14ac:dyDescent="0.2">
      <c r="F9" s="13" t="s">
        <v>54</v>
      </c>
      <c r="G9" s="10">
        <v>25</v>
      </c>
      <c r="H9" s="12" t="s">
        <v>10</v>
      </c>
      <c r="J9" s="2" t="s">
        <v>38</v>
      </c>
      <c r="K9" s="3"/>
    </row>
    <row r="10" spans="2:12" ht="16" thickBot="1" x14ac:dyDescent="0.25">
      <c r="F10" s="8"/>
      <c r="H10" s="7"/>
      <c r="J10" s="2" t="s">
        <v>39</v>
      </c>
      <c r="K10" s="3">
        <v>1.1000000000000001</v>
      </c>
    </row>
    <row r="11" spans="2:12" x14ac:dyDescent="0.2">
      <c r="F11" s="4" t="s">
        <v>2</v>
      </c>
      <c r="G11" s="5"/>
      <c r="H11" s="6"/>
      <c r="J11" s="2" t="s">
        <v>40</v>
      </c>
      <c r="K11" s="3">
        <v>1.2</v>
      </c>
    </row>
    <row r="12" spans="2:12" x14ac:dyDescent="0.2">
      <c r="F12" s="13" t="s">
        <v>17</v>
      </c>
      <c r="G12" s="10">
        <f>G3*2</f>
        <v>100</v>
      </c>
      <c r="H12" s="12" t="s">
        <v>6</v>
      </c>
      <c r="J12" s="2" t="s">
        <v>41</v>
      </c>
      <c r="K12" s="3">
        <v>1.3</v>
      </c>
    </row>
    <row r="13" spans="2:12" x14ac:dyDescent="0.2">
      <c r="F13" s="13" t="s">
        <v>53</v>
      </c>
      <c r="G13" s="9">
        <f>G12/(G6*1000)*60</f>
        <v>2.2222222222222223</v>
      </c>
      <c r="H13" s="12" t="s">
        <v>11</v>
      </c>
      <c r="J13" s="2"/>
      <c r="K13" s="3"/>
    </row>
    <row r="14" spans="2:12" x14ac:dyDescent="0.2">
      <c r="F14" s="13" t="s">
        <v>18</v>
      </c>
      <c r="G14" s="10">
        <f>G7*2*G8/60</f>
        <v>1</v>
      </c>
      <c r="H14" s="12" t="s">
        <v>11</v>
      </c>
      <c r="J14" s="2" t="s">
        <v>52</v>
      </c>
      <c r="K14" s="3"/>
    </row>
    <row r="15" spans="2:12" x14ac:dyDescent="0.2">
      <c r="F15" s="13" t="s">
        <v>19</v>
      </c>
      <c r="G15" s="9">
        <f>G13*(G9/100)</f>
        <v>0.55555555555555558</v>
      </c>
      <c r="H15" s="12" t="s">
        <v>11</v>
      </c>
      <c r="J15" s="2" t="s">
        <v>42</v>
      </c>
      <c r="K15" s="3"/>
    </row>
    <row r="16" spans="2:12" x14ac:dyDescent="0.2">
      <c r="F16" s="13" t="s">
        <v>20</v>
      </c>
      <c r="G16" s="24">
        <f>G13+G14+G15</f>
        <v>3.7777777777777777</v>
      </c>
      <c r="H16" s="12" t="s">
        <v>23</v>
      </c>
      <c r="J16" s="2"/>
      <c r="K16" s="3"/>
    </row>
    <row r="17" spans="6:11" ht="16" thickBot="1" x14ac:dyDescent="0.25">
      <c r="F17" s="13" t="s">
        <v>21</v>
      </c>
      <c r="G17" s="9">
        <f>G12/(G16/60)/1000</f>
        <v>1.5882352941176472</v>
      </c>
      <c r="H17" s="12" t="s">
        <v>7</v>
      </c>
      <c r="J17" s="2" t="s">
        <v>43</v>
      </c>
      <c r="K17" s="3"/>
    </row>
    <row r="18" spans="6:11" ht="16" x14ac:dyDescent="0.2">
      <c r="F18" s="13" t="s">
        <v>21</v>
      </c>
      <c r="G18" s="9">
        <f>G17*1000/60</f>
        <v>26.470588235294123</v>
      </c>
      <c r="H18" s="12" t="s">
        <v>12</v>
      </c>
      <c r="J18" s="17" t="s">
        <v>44</v>
      </c>
      <c r="K18" s="18" t="s">
        <v>45</v>
      </c>
    </row>
    <row r="19" spans="6:11" ht="17" thickBot="1" x14ac:dyDescent="0.25">
      <c r="F19" s="14" t="s">
        <v>22</v>
      </c>
      <c r="G19" s="25">
        <f>60/G16</f>
        <v>15.882352941176471</v>
      </c>
      <c r="H19" s="16" t="s">
        <v>13</v>
      </c>
      <c r="J19" s="19" t="s">
        <v>46</v>
      </c>
      <c r="K19" s="20">
        <v>1.05</v>
      </c>
    </row>
    <row r="20" spans="6:11" ht="16" x14ac:dyDescent="0.2">
      <c r="J20" s="19" t="s">
        <v>47</v>
      </c>
      <c r="K20" s="21">
        <v>1.1000000000000001</v>
      </c>
    </row>
    <row r="21" spans="6:11" ht="16" x14ac:dyDescent="0.2">
      <c r="J21" s="19" t="s">
        <v>48</v>
      </c>
      <c r="K21" s="21">
        <v>1.2</v>
      </c>
    </row>
    <row r="22" spans="6:11" ht="17" thickBot="1" x14ac:dyDescent="0.25">
      <c r="J22" s="22" t="s">
        <v>49</v>
      </c>
      <c r="K22" s="23">
        <v>1.3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AGV能力計算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磯崎 啓樹</dc:creator>
  <cp:lastModifiedBy>韓 雨暘</cp:lastModifiedBy>
  <dcterms:created xsi:type="dcterms:W3CDTF">2026-01-11T05:55:30Z</dcterms:created>
  <dcterms:modified xsi:type="dcterms:W3CDTF">2026-02-07T02:20:37Z</dcterms:modified>
</cp:coreProperties>
</file>