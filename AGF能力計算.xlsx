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uyang/Downloads/"/>
    </mc:Choice>
  </mc:AlternateContent>
  <xr:revisionPtr revIDLastSave="0" documentId="13_ncr:1_{331B6724-BC3D-9040-B35F-A03721BA0507}" xr6:coauthVersionLast="47" xr6:coauthVersionMax="47" xr10:uidLastSave="{00000000-0000-0000-0000-000000000000}"/>
  <bookViews>
    <workbookView xWindow="1560" yWindow="600" windowWidth="49640" windowHeight="28200" xr2:uid="{F3333C26-BDF7-466F-8921-F3ADD109F371}"/>
  </bookViews>
  <sheets>
    <sheet name="AGF能力計算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G3" i="5"/>
  <c r="G15" i="5" s="1"/>
  <c r="C7" i="5"/>
  <c r="K3" i="5" s="1"/>
  <c r="C4" i="5"/>
  <c r="G17" i="5"/>
  <c r="G6" i="5"/>
  <c r="G16" i="5" l="1"/>
  <c r="G19" i="5" s="1"/>
  <c r="G20" i="5" s="1"/>
  <c r="G23" i="5" l="1"/>
  <c r="K4" i="5" s="1"/>
  <c r="K7" i="5" l="1"/>
  <c r="K5" i="5"/>
  <c r="K6" i="5"/>
  <c r="G21" i="5"/>
  <c r="G22" i="5" s="1"/>
</calcChain>
</file>

<file path=xl/sharedStrings.xml><?xml version="1.0" encoding="utf-8"?>
<sst xmlns="http://schemas.openxmlformats.org/spreadsheetml/2006/main" count="74" uniqueCount="63">
  <si>
    <t>稼働時間</t>
    <rPh sb="0" eb="4">
      <t>カドウジカン</t>
    </rPh>
    <phoneticPr fontId="1"/>
  </si>
  <si>
    <t>h</t>
    <phoneticPr fontId="1"/>
  </si>
  <si>
    <t>処理能力 (往復/時)</t>
  </si>
  <si>
    <t>平均速度 (m/min)</t>
  </si>
  <si>
    <t>平均速度 (km/h)</t>
  </si>
  <si>
    <t>往復距離 (m)</t>
  </si>
  <si>
    <t>■計算結果</t>
  </si>
  <si>
    <t>徐行・減速ロス率 (%)</t>
  </si>
  <si>
    <t>最高速度 (km/h)</t>
  </si>
  <si>
    <t>片道距離 (m)</t>
  </si>
  <si>
    <t>■入力項目</t>
  </si>
  <si>
    <t>徐行・減速ロス時間 (分)</t>
  </si>
  <si>
    <t>リフト動作ロス時間 (分)</t>
  </si>
  <si>
    <t>走行停止ロス時間 (分)</t>
  </si>
  <si>
    <t>往復あたりリフト動作回数 (回)</t>
  </si>
  <si>
    <t>リフト下降時間 (秒/回)</t>
  </si>
  <si>
    <t>リフト上昇時間 (秒/回)</t>
  </si>
  <si>
    <t>片道停止回数（走行由来）(回)</t>
  </si>
  <si>
    <t>往復所要時間 (分)/回</t>
    <rPh sb="11" eb="12">
      <t>カイ</t>
    </rPh>
    <phoneticPr fontId="1"/>
  </si>
  <si>
    <t>実運用係数</t>
    <rPh sb="0" eb="1">
      <t>ジツ</t>
    </rPh>
    <rPh sb="1" eb="5">
      <t>ウンヨウケイスウ</t>
    </rPh>
    <phoneticPr fontId="1"/>
  </si>
  <si>
    <t>1回あたり停止ロス（走行）(秒)
（減速＋停止＋再加速を含む）</t>
    <phoneticPr fontId="1"/>
  </si>
  <si>
    <t>カタログ値最高速度（km/h）</t>
    <rPh sb="4" eb="5">
      <t>チ</t>
    </rPh>
    <rPh sb="5" eb="7">
      <t>サイコウ</t>
    </rPh>
    <rPh sb="7" eb="9">
      <t>ソクド</t>
    </rPh>
    <phoneticPr fontId="1"/>
  </si>
  <si>
    <t>m</t>
    <phoneticPr fontId="1"/>
  </si>
  <si>
    <t>km/h</t>
    <phoneticPr fontId="1"/>
  </si>
  <si>
    <t>回</t>
    <rPh sb="0" eb="1">
      <t>カイ</t>
    </rPh>
    <phoneticPr fontId="1"/>
  </si>
  <si>
    <t>秒</t>
    <rPh sb="0" eb="1">
      <t>ビョウ</t>
    </rPh>
    <phoneticPr fontId="1"/>
  </si>
  <si>
    <t>％</t>
    <phoneticPr fontId="1"/>
  </si>
  <si>
    <t>分</t>
    <rPh sb="0" eb="1">
      <t>フン</t>
    </rPh>
    <phoneticPr fontId="1"/>
  </si>
  <si>
    <t>m/min</t>
    <phoneticPr fontId="1"/>
  </si>
  <si>
    <t>往復/時</t>
    <rPh sb="0" eb="2">
      <t>オウフク</t>
    </rPh>
    <rPh sb="3" eb="4">
      <t>ジ</t>
    </rPh>
    <phoneticPr fontId="1"/>
  </si>
  <si>
    <t>分/回</t>
    <rPh sb="0" eb="1">
      <t>フン</t>
    </rPh>
    <rPh sb="2" eb="3">
      <t>カイ</t>
    </rPh>
    <phoneticPr fontId="1"/>
  </si>
  <si>
    <t>◆入力項目</t>
    <rPh sb="1" eb="5">
      <t>ニュウリョクコウモク</t>
    </rPh>
    <phoneticPr fontId="1"/>
  </si>
  <si>
    <t>片道距離</t>
    <rPh sb="0" eb="4">
      <t>カタミチキョリ</t>
    </rPh>
    <phoneticPr fontId="1"/>
  </si>
  <si>
    <t>往復距離</t>
    <rPh sb="0" eb="2">
      <t>オウフク</t>
    </rPh>
    <rPh sb="2" eb="4">
      <t>キョリ</t>
    </rPh>
    <phoneticPr fontId="1"/>
  </si>
  <si>
    <t>1時間あたりの搬送回数</t>
    <rPh sb="1" eb="3">
      <t>ジカン</t>
    </rPh>
    <rPh sb="7" eb="11">
      <t>ハンソウカイスウ</t>
    </rPh>
    <phoneticPr fontId="1"/>
  </si>
  <si>
    <t>1日の搬送回数</t>
    <rPh sb="1" eb="2">
      <t>ヒ</t>
    </rPh>
    <rPh sb="3" eb="7">
      <t>ハンソウカイスウ</t>
    </rPh>
    <phoneticPr fontId="1"/>
  </si>
  <si>
    <t>★必要台数</t>
    <rPh sb="1" eb="5">
      <t>ヒツヨウダイスウ</t>
    </rPh>
    <phoneticPr fontId="1"/>
  </si>
  <si>
    <t>回/h</t>
    <rPh sb="0" eb="1">
      <t>カイ</t>
    </rPh>
    <phoneticPr fontId="1"/>
  </si>
  <si>
    <t>回/h</t>
    <phoneticPr fontId="1"/>
  </si>
  <si>
    <t>必要処理能力
（1hあたりの希望搬送回数）</t>
    <rPh sb="0" eb="6">
      <t>ヒツヨウショリノウリョク</t>
    </rPh>
    <rPh sb="14" eb="16">
      <t>キボウ</t>
    </rPh>
    <rPh sb="16" eb="20">
      <t>ハンソウカイスウ</t>
    </rPh>
    <phoneticPr fontId="1"/>
  </si>
  <si>
    <t>AGF処理能力</t>
    <rPh sb="3" eb="7">
      <t>ショリノウリョク</t>
    </rPh>
    <phoneticPr fontId="1"/>
  </si>
  <si>
    <t>回/ｈ</t>
    <rPh sb="0" eb="1">
      <t>カイ</t>
    </rPh>
    <phoneticPr fontId="1"/>
  </si>
  <si>
    <t>台</t>
    <rPh sb="0" eb="1">
      <t>ダイ</t>
    </rPh>
    <phoneticPr fontId="1"/>
  </si>
  <si>
    <t>必要台数（標準）</t>
    <rPh sb="0" eb="4">
      <t>ヒツヨウダイスウ</t>
    </rPh>
    <rPh sb="5" eb="7">
      <t>ヒョウジュン</t>
    </rPh>
    <phoneticPr fontId="1"/>
  </si>
  <si>
    <t>必要台数（人混在）</t>
    <rPh sb="5" eb="6">
      <t>ヒト</t>
    </rPh>
    <rPh sb="6" eb="8">
      <t>コンザイ</t>
    </rPh>
    <phoneticPr fontId="1"/>
  </si>
  <si>
    <t>必要台数（将来増設あり）</t>
    <rPh sb="5" eb="7">
      <t>ショウライ</t>
    </rPh>
    <rPh sb="7" eb="9">
      <t>ゾウセツ</t>
    </rPh>
    <phoneticPr fontId="1"/>
  </si>
  <si>
    <t>秒/回</t>
    <rPh sb="0" eb="1">
      <t>ビョウ</t>
    </rPh>
    <rPh sb="2" eb="3">
      <t>カイ</t>
    </rPh>
    <phoneticPr fontId="1"/>
  </si>
  <si>
    <t>秒/回</t>
    <phoneticPr fontId="1"/>
  </si>
  <si>
    <t>※余裕率</t>
    <rPh sb="1" eb="4">
      <t>ヨユウリツ</t>
    </rPh>
    <phoneticPr fontId="1"/>
  </si>
  <si>
    <t>標準</t>
    <rPh sb="0" eb="2">
      <t>ヒョウジュン</t>
    </rPh>
    <phoneticPr fontId="1"/>
  </si>
  <si>
    <t>人混在</t>
    <rPh sb="0" eb="1">
      <t>ヒト</t>
    </rPh>
    <rPh sb="1" eb="3">
      <t>コンザイ</t>
    </rPh>
    <phoneticPr fontId="1"/>
  </si>
  <si>
    <t>将来増設あり</t>
    <rPh sb="0" eb="2">
      <t>ショウライ</t>
    </rPh>
    <rPh sb="2" eb="4">
      <t>ゾウセツ</t>
    </rPh>
    <phoneticPr fontId="1"/>
  </si>
  <si>
    <t>AGF処理能力はあくまで平均値からの算出なため</t>
    <rPh sb="3" eb="7">
      <t>ショリノウリョク</t>
    </rPh>
    <rPh sb="12" eb="15">
      <t>ヘイキンチ</t>
    </rPh>
    <rPh sb="18" eb="20">
      <t>サンシュツ</t>
    </rPh>
    <phoneticPr fontId="1"/>
  </si>
  <si>
    <t>現場では様々なトラブルなどあり平均値のみでは破綻しやすい。</t>
    <rPh sb="0" eb="2">
      <t>ゲンバ</t>
    </rPh>
    <rPh sb="4" eb="6">
      <t>サマザマ</t>
    </rPh>
    <rPh sb="15" eb="18">
      <t>ヘイキンチ</t>
    </rPh>
    <rPh sb="22" eb="24">
      <t>ハタン</t>
    </rPh>
    <phoneticPr fontId="1"/>
  </si>
  <si>
    <t>目安</t>
    <rPh sb="0" eb="2">
      <t>メヤス</t>
    </rPh>
    <phoneticPr fontId="1"/>
  </si>
  <si>
    <t>現場条件</t>
  </si>
  <si>
    <t>余裕率</t>
  </si>
  <si>
    <t>無人・直線中心</t>
  </si>
  <si>
    <t>一般工場</t>
  </si>
  <si>
    <t>人混在・交差多</t>
  </si>
  <si>
    <t>不確定要素多</t>
  </si>
  <si>
    <t>理論往復走行時間 (分)</t>
    <rPh sb="2" eb="4">
      <t>オウフク</t>
    </rPh>
    <phoneticPr fontId="1"/>
  </si>
  <si>
    <t>set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</si>
</sst>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 x14ac:knownFonts="1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b/>
      <sz val="13.5"/>
      <color theme="1"/>
      <name val="Aptos Narrow"/>
      <family val="3"/>
      <charset val="128"/>
      <scheme val="minor"/>
    </font>
    <font>
      <b/>
      <sz val="14"/>
      <color theme="1"/>
      <name val="Aptos Narrow"/>
      <family val="3"/>
      <charset val="128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1" applyAlignment="1">
      <alignment horizontal="center" vertical="center"/>
    </xf>
    <xf numFmtId="0" fontId="5" fillId="0" borderId="1" xfId="1" applyBorder="1" applyAlignment="1">
      <alignment vertical="center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vertical="center"/>
    </xf>
    <xf numFmtId="0" fontId="5" fillId="0" borderId="4" xfId="1" applyBorder="1" applyAlignment="1">
      <alignment vertical="center"/>
    </xf>
    <xf numFmtId="0" fontId="5" fillId="0" borderId="6" xfId="1" applyBorder="1" applyAlignment="1">
      <alignment vertical="center"/>
    </xf>
    <xf numFmtId="2" fontId="5" fillId="0" borderId="7" xfId="1" applyNumberFormat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5" fillId="0" borderId="8" xfId="1" applyBorder="1" applyAlignment="1">
      <alignment vertical="center" wrapText="1"/>
    </xf>
    <xf numFmtId="0" fontId="5" fillId="0" borderId="9" xfId="1" applyBorder="1" applyAlignment="1">
      <alignment vertical="center"/>
    </xf>
    <xf numFmtId="0" fontId="5" fillId="0" borderId="8" xfId="1" applyBorder="1" applyAlignment="1">
      <alignment vertical="center"/>
    </xf>
    <xf numFmtId="0" fontId="5" fillId="0" borderId="10" xfId="1" applyBorder="1" applyAlignment="1">
      <alignment vertical="center"/>
    </xf>
    <xf numFmtId="0" fontId="5" fillId="0" borderId="11" xfId="1" applyBorder="1" applyAlignment="1">
      <alignment horizontal="center" vertical="center"/>
    </xf>
    <xf numFmtId="0" fontId="5" fillId="0" borderId="12" xfId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166" fontId="5" fillId="0" borderId="7" xfId="1" applyNumberFormat="1" applyBorder="1" applyAlignment="1">
      <alignment horizontal="center" vertical="center"/>
    </xf>
    <xf numFmtId="2" fontId="5" fillId="2" borderId="7" xfId="1" applyNumberFormat="1" applyFill="1" applyBorder="1" applyAlignment="1">
      <alignment horizontal="center" vertical="center"/>
    </xf>
    <xf numFmtId="2" fontId="5" fillId="3" borderId="11" xfId="1" applyNumberFormat="1" applyFill="1" applyBorder="1" applyAlignment="1">
      <alignment horizontal="center" vertical="center"/>
    </xf>
    <xf numFmtId="0" fontId="5" fillId="0" borderId="5" xfId="1" applyBorder="1" applyAlignment="1">
      <alignment vertical="center"/>
    </xf>
    <xf numFmtId="2" fontId="5" fillId="0" borderId="11" xfId="1" applyNumberFormat="1" applyBorder="1" applyAlignment="1">
      <alignment horizontal="center" vertical="center"/>
    </xf>
  </cellXfs>
  <cellStyles count="2">
    <cellStyle name="Normal" xfId="0" builtinId="0"/>
    <cellStyle name="標準 2" xfId="1" xr:uid="{8E706EEC-C710-4307-A3B0-475C63A9AF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444500</xdr:colOff>
      <xdr:row>1</xdr:row>
      <xdr:rowOff>6350</xdr:rowOff>
    </xdr:from>
    <xdr:to>
      <xdr:col>22</xdr:col>
      <xdr:colOff>419100</xdr:colOff>
      <xdr:row>37</xdr:row>
      <xdr:rowOff>31749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01F8768-0376-BFAE-1B59-C5289D3E6739}"/>
            </a:ext>
          </a:extLst>
        </xdr:cNvPr>
        <xdr:cNvSpPr txBox="1"/>
      </xdr:nvSpPr>
      <xdr:spPr>
        <a:xfrm>
          <a:off x="11912600" y="244475"/>
          <a:ext cx="5889625" cy="8864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ctr"/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★係数の使い分け（実務目安）</a:t>
          </a:r>
          <a:r>
            <a:rPr lang="ja-JP" altLang="en-US">
              <a:effectLst/>
            </a:rPr>
            <a:t> </a:t>
          </a:r>
          <a:endParaRPr lang="ja-JP" alt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ctr"/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用途</a:t>
          </a:r>
        </a:p>
        <a:p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係数</a:t>
          </a:r>
          <a:r>
            <a:rPr lang="ja-JP" altLang="en-US">
              <a:effectLst/>
            </a:rPr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レイアウト検討（楽観）</a:t>
          </a:r>
          <a:r>
            <a:rPr lang="ja-JP" altLang="en-US">
              <a:effectLst/>
            </a:rPr>
            <a:t>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0.7</a:t>
          </a:r>
          <a:r>
            <a:rPr lang="ja-JP" altLang="en-US">
              <a:effectLst/>
            </a:rPr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能力計算（標準）</a:t>
          </a:r>
          <a:r>
            <a:rPr lang="ja-JP" altLang="en-US">
              <a:effectLst/>
            </a:rPr>
            <a:t> </a:t>
          </a:r>
          <a:r>
            <a:rPr lang="en-US" altLang="ja-JP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0.6</a:t>
          </a:r>
          <a:r>
            <a:rPr lang="ja-JP" altLang="en-US">
              <a:effectLst/>
            </a:rPr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安全側・保守的</a:t>
          </a:r>
          <a:r>
            <a:rPr lang="ja-JP" altLang="en-US">
              <a:effectLst/>
            </a:rPr>
            <a:t>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 </a:t>
          </a:r>
        </a:p>
        <a:p>
          <a:endParaRPr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b="1"/>
            <a:t>社内・顧客向けの説明文（そのまま使える）</a:t>
          </a:r>
        </a:p>
        <a:p>
          <a:r>
            <a:rPr lang="ja-JP" altLang="en-US"/>
            <a:t>カタログ上の最高速度は</a:t>
          </a:r>
          <a:r>
            <a:rPr lang="en-US" altLang="ja-JP"/>
            <a:t>5km/h</a:t>
          </a:r>
          <a:r>
            <a:rPr lang="ja-JP" altLang="en-US"/>
            <a:t>ですが、</a:t>
          </a:r>
          <a:br>
            <a:rPr lang="ja-JP" altLang="en-US"/>
          </a:br>
          <a:r>
            <a:rPr lang="ja-JP" altLang="en-US"/>
            <a:t>実運用ではカーブ・人検知・停止等による減速が発生するため、</a:t>
          </a:r>
          <a:br>
            <a:rPr lang="ja-JP" altLang="en-US"/>
          </a:br>
          <a:r>
            <a:rPr lang="ja-JP" altLang="en-US"/>
            <a:t>能力計算では </a:t>
          </a:r>
          <a:r>
            <a:rPr lang="ja-JP" altLang="en-US" b="1"/>
            <a:t>実運用係数</a:t>
          </a:r>
          <a:r>
            <a:rPr lang="en-US" altLang="ja-JP" b="1"/>
            <a:t>0.6</a:t>
          </a:r>
          <a:r>
            <a:rPr lang="ja-JP" altLang="en-US" b="1"/>
            <a:t>を掛けた</a:t>
          </a:r>
          <a:r>
            <a:rPr lang="en-US" altLang="ja-JP" b="1"/>
            <a:t>3km/h</a:t>
          </a:r>
          <a:r>
            <a:rPr lang="en-US" altLang="ja-JP"/>
            <a:t> </a:t>
          </a:r>
          <a:r>
            <a:rPr lang="ja-JP" altLang="en-US"/>
            <a:t>を採用しています。</a:t>
          </a:r>
        </a:p>
        <a:p>
          <a:r>
            <a:rPr lang="ja-JP" altLang="en-US"/>
            <a:t>👉 </a:t>
          </a:r>
          <a:r>
            <a:rPr lang="ja-JP" altLang="en-US" b="1"/>
            <a:t>この一文があると突っ込まれません</a:t>
          </a:r>
          <a:endParaRPr lang="en-US" altLang="ja-JP" b="1"/>
        </a:p>
        <a:p>
          <a:endParaRPr lang="en-US" altLang="ja-JP" b="1"/>
        </a:p>
        <a:p>
          <a:r>
            <a:rPr lang="ja-JP" altLang="en-US" sz="1200" b="1"/>
            <a:t>なぜ「</a:t>
          </a:r>
          <a:r>
            <a:rPr lang="en-US" altLang="ja-JP" sz="1200" b="1"/>
            <a:t>0.6</a:t>
          </a:r>
          <a:r>
            <a:rPr lang="ja-JP" altLang="en-US" sz="1200" b="1"/>
            <a:t>掛け」でよいのか</a:t>
          </a:r>
          <a:endParaRPr lang="en-US" altLang="ja-JP" sz="1200" b="1"/>
        </a:p>
        <a:p>
          <a:r>
            <a:rPr lang="ja-JP" altLang="en-US"/>
            <a:t>カタログ値 </a:t>
          </a:r>
          <a:r>
            <a:rPr lang="en-US" altLang="ja-JP"/>
            <a:t>5 km/h </a:t>
          </a:r>
          <a:r>
            <a:rPr lang="ja-JP" altLang="en-US"/>
            <a:t>は、以下を</a:t>
          </a:r>
          <a:r>
            <a:rPr lang="ja-JP" altLang="en-US" b="1"/>
            <a:t>一切含まない理論値</a:t>
          </a:r>
          <a:r>
            <a:rPr lang="ja-JP" altLang="en-US"/>
            <a:t>です。</a:t>
          </a:r>
        </a:p>
        <a:p>
          <a:r>
            <a:rPr lang="ja-JP" altLang="en-US"/>
            <a:t>カーブでの減速</a:t>
          </a:r>
        </a:p>
        <a:p>
          <a:r>
            <a:rPr lang="ja-JP" altLang="en-US"/>
            <a:t>人検知による徐行</a:t>
          </a:r>
        </a:p>
        <a:p>
          <a:r>
            <a:rPr lang="ja-JP" altLang="en-US"/>
            <a:t>交差点・合流部での停止</a:t>
          </a:r>
        </a:p>
        <a:p>
          <a:r>
            <a:rPr lang="ja-JP" altLang="en-US"/>
            <a:t>停止後の再加速</a:t>
          </a:r>
        </a:p>
        <a:p>
          <a:r>
            <a:rPr lang="ja-JP" altLang="en-US"/>
            <a:t>積載重量影響</a:t>
          </a:r>
          <a:br>
            <a:rPr lang="ja-JP" altLang="en-US"/>
          </a:br>
          <a:r>
            <a:rPr lang="en-US" altLang="ja-JP"/>
            <a:t>-</a:t>
          </a:r>
          <a:r>
            <a:rPr lang="ja-JP" altLang="en-US"/>
            <a:t>（</a:t>
          </a:r>
          <a:r>
            <a:rPr lang="en-US" altLang="ja-JP"/>
            <a:t>AGF</a:t>
          </a:r>
          <a:r>
            <a:rPr lang="ja-JP" altLang="en-US"/>
            <a:t>なら）リフト昇降</a:t>
          </a:r>
        </a:p>
        <a:p>
          <a:r>
            <a:rPr lang="ja-JP" altLang="en-US"/>
            <a:t>これらをまとめて見込んだ結果として、</a:t>
          </a:r>
        </a:p>
        <a:p>
          <a:r>
            <a:rPr lang="ja-JP" altLang="en-US"/>
            <a:t>👉 </a:t>
          </a:r>
          <a:r>
            <a:rPr lang="ja-JP" altLang="en-US" b="1"/>
            <a:t>実運用では </a:t>
          </a:r>
          <a:r>
            <a:rPr lang="en-US" altLang="ja-JP" b="1"/>
            <a:t>60</a:t>
          </a:r>
          <a:r>
            <a:rPr lang="ja-JP" altLang="en-US" b="1"/>
            <a:t>％前後になる</a:t>
          </a:r>
          <a:br>
            <a:rPr lang="ja-JP" altLang="en-US"/>
          </a:br>
          <a:r>
            <a:rPr lang="ja-JP" altLang="en-US"/>
            <a:t>👉 それを</a:t>
          </a:r>
          <a:r>
            <a:rPr lang="ja-JP" altLang="en-US" b="1"/>
            <a:t>係数</a:t>
          </a:r>
          <a:r>
            <a:rPr lang="en-US" altLang="ja-JP" b="1"/>
            <a:t>0.6</a:t>
          </a:r>
          <a:r>
            <a:rPr lang="ja-JP" altLang="en-US"/>
            <a:t>として扱う</a:t>
          </a:r>
          <a:endParaRPr lang="en-US" altLang="ja-JP"/>
        </a:p>
        <a:p>
          <a:endParaRPr lang="en-US" altLang="ja-JP"/>
        </a:p>
        <a:p>
          <a:endParaRPr lang="en-US" altLang="ja-JP"/>
        </a:p>
        <a:p>
          <a:endParaRPr lang="en-US" altLang="ja-JP"/>
        </a:p>
        <a:p>
          <a:endParaRPr lang="en-US" altLang="ja-JP"/>
        </a:p>
        <a:p>
          <a:r>
            <a:rPr lang="ja-JP" altLang="en-US"/>
            <a:t>★徐行・減速ロス率</a:t>
          </a:r>
          <a:r>
            <a:rPr lang="en-US" altLang="ja-JP"/>
            <a:t>【</a:t>
          </a:r>
          <a:r>
            <a:rPr lang="ja-JP" altLang="en-US"/>
            <a:t>％</a:t>
          </a:r>
          <a:r>
            <a:rPr lang="en-US" altLang="ja-JP"/>
            <a:t>】</a:t>
          </a:r>
        </a:p>
        <a:p>
          <a:r>
            <a:rPr lang="en-US" altLang="ja-JP"/>
            <a:t>※ </a:t>
          </a:r>
          <a:r>
            <a:rPr lang="ja-JP" altLang="en-US"/>
            <a:t>目安</a:t>
          </a:r>
        </a:p>
        <a:p>
          <a:r>
            <a:rPr lang="ja-JP" altLang="en-US"/>
            <a:t>人少なめ：</a:t>
          </a:r>
          <a:r>
            <a:rPr lang="en-US" altLang="ja-JP"/>
            <a:t>10</a:t>
          </a:r>
          <a:r>
            <a:rPr lang="ja-JP" altLang="en-US"/>
            <a:t>～</a:t>
          </a:r>
          <a:r>
            <a:rPr lang="en-US" altLang="ja-JP"/>
            <a:t>15</a:t>
          </a:r>
          <a:r>
            <a:rPr lang="ja-JP" altLang="en-US"/>
            <a:t>％</a:t>
          </a:r>
        </a:p>
        <a:p>
          <a:r>
            <a:rPr lang="ja-JP" altLang="en-US"/>
            <a:t>人共存：</a:t>
          </a:r>
          <a:r>
            <a:rPr lang="en-US" altLang="ja-JP"/>
            <a:t>20</a:t>
          </a:r>
          <a:r>
            <a:rPr lang="ja-JP" altLang="en-US"/>
            <a:t>～</a:t>
          </a:r>
          <a:r>
            <a:rPr lang="en-US" altLang="ja-JP"/>
            <a:t>30</a:t>
          </a:r>
          <a:r>
            <a:rPr lang="ja-JP" altLang="en-US"/>
            <a:t>％</a:t>
          </a:r>
        </a:p>
        <a:p>
          <a:r>
            <a:rPr lang="ja-JP" altLang="en-US"/>
            <a:t>混雑多い：</a:t>
          </a:r>
          <a:r>
            <a:rPr lang="en-US" altLang="ja-JP"/>
            <a:t>30</a:t>
          </a:r>
          <a:r>
            <a:rPr lang="ja-JP" altLang="en-US"/>
            <a:t>～</a:t>
          </a:r>
          <a:r>
            <a:rPr lang="en-US" altLang="ja-JP"/>
            <a:t>40</a:t>
          </a:r>
          <a:r>
            <a:rPr lang="ja-JP" altLang="en-US"/>
            <a:t>％</a:t>
          </a:r>
        </a:p>
        <a:p>
          <a:endParaRPr kumimoji="1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★提案初期：徐行ロス率 </a:t>
          </a:r>
          <a:r>
            <a:rPr lang="en-US" altLang="ja-JP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％</a:t>
          </a:r>
          <a:r>
            <a:rPr lang="ja-JP" altLang="en-US">
              <a:effectLst/>
            </a:rPr>
            <a:t> 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・安全側見積：</a:t>
          </a:r>
          <a:r>
            <a:rPr lang="en-US" altLang="ja-JP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lang="en-US" altLang="ja-JP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％</a:t>
          </a:r>
          <a:r>
            <a:rPr lang="ja-JP" altLang="en-US">
              <a:effectLst/>
            </a:rPr>
            <a:t> 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・条件比較：ロス率だけ変えて感度確認</a:t>
          </a:r>
          <a:r>
            <a:rPr lang="ja-JP" altLang="en-US">
              <a:effectLst/>
            </a:rPr>
            <a:t> </a:t>
          </a:r>
          <a:endParaRPr lang="en-US" altLang="ja-JP">
            <a:effectLst/>
          </a:endParaRPr>
        </a:p>
        <a:p>
          <a:endParaRPr kumimoji="1" lang="en-US" altLang="ja-JP" sz="1100">
            <a:effectLst/>
          </a:endParaRPr>
        </a:p>
        <a:p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★処理能力とは ＝ 往復回数／時間</a:t>
          </a:r>
          <a:r>
            <a:rPr lang="ja-JP" altLang="en-US">
              <a:effectLst/>
            </a:rPr>
            <a:t> </a:t>
          </a:r>
          <a:endParaRPr lang="en-US" altLang="ja-JP">
            <a:effectLst/>
          </a:endParaRPr>
        </a:p>
        <a:p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単位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：回／時間（回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/h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ja-JP">
              <a:effectLst/>
            </a:rPr>
            <a:t> </a:t>
          </a:r>
        </a:p>
        <a:p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意味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ja-JP" altLang="en-US">
              <a:effectLst/>
            </a:rPr>
            <a:t>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AGV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AGF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台が</a:t>
          </a:r>
          <a:r>
            <a:rPr lang="ja-JP" altLang="en-US">
              <a:effectLst/>
            </a:rPr>
            <a:t> </a:t>
          </a:r>
          <a:r>
            <a:rPr lang="en-US" altLang="ja-JP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時間に何回、指定した往復搬送を完了できるか</a:t>
          </a:r>
          <a:r>
            <a:rPr lang="ja-JP" altLang="en-US">
              <a:effectLst/>
            </a:rPr>
            <a:t> 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1D04-74E6-45A5-B60A-AB452F880A5A}">
  <dimension ref="B1:L30"/>
  <sheetViews>
    <sheetView tabSelected="1" workbookViewId="0">
      <selection activeCell="K26" sqref="K26"/>
    </sheetView>
  </sheetViews>
  <sheetFormatPr baseColWidth="10" defaultColWidth="8.6640625" defaultRowHeight="15" x14ac:dyDescent="0.2"/>
  <cols>
    <col min="1" max="1" width="8.6640625" style="5"/>
    <col min="2" max="2" width="22.5" style="5" bestFit="1" customWidth="1"/>
    <col min="3" max="3" width="8.6640625" style="8"/>
    <col min="4" max="4" width="5.33203125" style="5" bestFit="1" customWidth="1"/>
    <col min="5" max="5" width="8.6640625" style="5"/>
    <col min="6" max="6" width="29.83203125" style="5" bestFit="1" customWidth="1"/>
    <col min="7" max="7" width="8.6640625" style="8"/>
    <col min="8" max="8" width="8.6640625" style="5"/>
    <col min="9" max="9" width="6.83203125" style="5" customWidth="1"/>
    <col min="10" max="10" width="25.5" style="5" bestFit="1" customWidth="1"/>
    <col min="11" max="11" width="8.6640625" style="8"/>
    <col min="12" max="16384" width="8.6640625" style="5"/>
  </cols>
  <sheetData>
    <row r="1" spans="2:12" ht="16" thickBot="1" x14ac:dyDescent="0.25"/>
    <row r="2" spans="2:12" x14ac:dyDescent="0.2">
      <c r="B2" s="9" t="s">
        <v>31</v>
      </c>
      <c r="C2" s="10"/>
      <c r="D2" s="11"/>
      <c r="F2" s="9" t="s">
        <v>10</v>
      </c>
      <c r="G2" s="10"/>
      <c r="H2" s="11"/>
      <c r="J2" s="9" t="s">
        <v>36</v>
      </c>
      <c r="K2" s="10"/>
      <c r="L2" s="11"/>
    </row>
    <row r="3" spans="2:12" ht="32" x14ac:dyDescent="0.2">
      <c r="B3" s="18" t="s">
        <v>32</v>
      </c>
      <c r="C3" s="15">
        <v>50</v>
      </c>
      <c r="D3" s="17" t="s">
        <v>22</v>
      </c>
      <c r="F3" s="18" t="s">
        <v>9</v>
      </c>
      <c r="G3" s="15">
        <f>C3</f>
        <v>50</v>
      </c>
      <c r="H3" s="17" t="s">
        <v>22</v>
      </c>
      <c r="J3" s="16" t="s">
        <v>39</v>
      </c>
      <c r="K3" s="14">
        <f>C7</f>
        <v>7.6923076923076925</v>
      </c>
      <c r="L3" s="17" t="s">
        <v>38</v>
      </c>
    </row>
    <row r="4" spans="2:12" x14ac:dyDescent="0.2">
      <c r="B4" s="18" t="s">
        <v>33</v>
      </c>
      <c r="C4" s="15">
        <f>C3*2</f>
        <v>100</v>
      </c>
      <c r="D4" s="17" t="s">
        <v>22</v>
      </c>
      <c r="F4" s="18" t="s">
        <v>21</v>
      </c>
      <c r="G4" s="15">
        <v>5</v>
      </c>
      <c r="H4" s="17" t="s">
        <v>23</v>
      </c>
      <c r="J4" s="18" t="s">
        <v>40</v>
      </c>
      <c r="K4" s="14">
        <f>G23</f>
        <v>15.483870967741936</v>
      </c>
      <c r="L4" s="17" t="s">
        <v>41</v>
      </c>
    </row>
    <row r="5" spans="2:12" ht="19" x14ac:dyDescent="0.2">
      <c r="B5" s="18" t="s">
        <v>0</v>
      </c>
      <c r="C5" s="15">
        <v>13</v>
      </c>
      <c r="D5" s="17" t="s">
        <v>1</v>
      </c>
      <c r="E5" s="3"/>
      <c r="F5" s="18" t="s">
        <v>19</v>
      </c>
      <c r="G5" s="15">
        <v>0.8</v>
      </c>
      <c r="H5" s="17"/>
      <c r="J5" s="18" t="s">
        <v>43</v>
      </c>
      <c r="K5" s="15">
        <f>CEILING(K3/K4*1.1,1)</f>
        <v>1</v>
      </c>
      <c r="L5" s="17" t="s">
        <v>42</v>
      </c>
    </row>
    <row r="6" spans="2:12" x14ac:dyDescent="0.2">
      <c r="B6" s="18" t="s">
        <v>35</v>
      </c>
      <c r="C6" s="15">
        <v>100</v>
      </c>
      <c r="D6" s="17" t="s">
        <v>24</v>
      </c>
      <c r="E6" s="4"/>
      <c r="F6" s="18" t="s">
        <v>8</v>
      </c>
      <c r="G6" s="15">
        <f>G4*G5</f>
        <v>4</v>
      </c>
      <c r="H6" s="17" t="s">
        <v>23</v>
      </c>
      <c r="J6" s="18" t="s">
        <v>44</v>
      </c>
      <c r="K6" s="15">
        <f>CEILING(K3/K4*1.2,1)</f>
        <v>1</v>
      </c>
      <c r="L6" s="17" t="s">
        <v>42</v>
      </c>
    </row>
    <row r="7" spans="2:12" ht="16" thickBot="1" x14ac:dyDescent="0.25">
      <c r="B7" s="19" t="s">
        <v>34</v>
      </c>
      <c r="C7" s="33">
        <f>C6/C5</f>
        <v>7.6923076923076925</v>
      </c>
      <c r="D7" s="21" t="s">
        <v>37</v>
      </c>
      <c r="E7" s="1"/>
      <c r="F7" s="18" t="s">
        <v>17</v>
      </c>
      <c r="G7" s="15">
        <v>2</v>
      </c>
      <c r="H7" s="17" t="s">
        <v>24</v>
      </c>
      <c r="J7" s="19" t="s">
        <v>45</v>
      </c>
      <c r="K7" s="20">
        <f>CEILING(K3/K4*1.3,1)</f>
        <v>1</v>
      </c>
      <c r="L7" s="21" t="s">
        <v>42</v>
      </c>
    </row>
    <row r="8" spans="2:12" ht="32" x14ac:dyDescent="0.2">
      <c r="E8" s="1"/>
      <c r="F8" s="16" t="s">
        <v>20</v>
      </c>
      <c r="G8" s="15">
        <v>15</v>
      </c>
      <c r="H8" s="17" t="s">
        <v>25</v>
      </c>
    </row>
    <row r="9" spans="2:12" x14ac:dyDescent="0.2">
      <c r="E9" s="1"/>
      <c r="F9" s="18" t="s">
        <v>16</v>
      </c>
      <c r="G9" s="15">
        <v>30</v>
      </c>
      <c r="H9" s="17" t="s">
        <v>46</v>
      </c>
      <c r="J9" s="5" t="s">
        <v>48</v>
      </c>
    </row>
    <row r="10" spans="2:12" x14ac:dyDescent="0.2">
      <c r="F10" s="18" t="s">
        <v>15</v>
      </c>
      <c r="G10" s="15">
        <v>30</v>
      </c>
      <c r="H10" s="17" t="s">
        <v>47</v>
      </c>
      <c r="J10" s="5" t="s">
        <v>49</v>
      </c>
      <c r="K10" s="8">
        <v>1.1000000000000001</v>
      </c>
    </row>
    <row r="11" spans="2:12" x14ac:dyDescent="0.2">
      <c r="F11" s="18" t="s">
        <v>14</v>
      </c>
      <c r="G11" s="15">
        <v>1</v>
      </c>
      <c r="H11" s="17" t="s">
        <v>62</v>
      </c>
      <c r="J11" s="5" t="s">
        <v>50</v>
      </c>
      <c r="K11" s="8">
        <v>1.2</v>
      </c>
    </row>
    <row r="12" spans="2:12" x14ac:dyDescent="0.2">
      <c r="F12" s="18" t="s">
        <v>7</v>
      </c>
      <c r="G12" s="15">
        <v>25</v>
      </c>
      <c r="H12" s="17" t="s">
        <v>26</v>
      </c>
      <c r="J12" s="5" t="s">
        <v>51</v>
      </c>
      <c r="K12" s="8">
        <v>1.3</v>
      </c>
    </row>
    <row r="13" spans="2:12" ht="16" thickBot="1" x14ac:dyDescent="0.25">
      <c r="F13" s="12"/>
      <c r="G13" s="32"/>
      <c r="H13" s="13"/>
    </row>
    <row r="14" spans="2:12" x14ac:dyDescent="0.2">
      <c r="E14"/>
      <c r="F14" s="9" t="s">
        <v>6</v>
      </c>
      <c r="G14" s="10"/>
      <c r="H14" s="11"/>
      <c r="J14" s="5" t="s">
        <v>52</v>
      </c>
    </row>
    <row r="15" spans="2:12" x14ac:dyDescent="0.2">
      <c r="E15"/>
      <c r="F15" s="18" t="s">
        <v>5</v>
      </c>
      <c r="G15" s="15">
        <f>G3*2</f>
        <v>100</v>
      </c>
      <c r="H15" s="17" t="s">
        <v>22</v>
      </c>
      <c r="J15" s="5" t="s">
        <v>53</v>
      </c>
    </row>
    <row r="16" spans="2:12" x14ac:dyDescent="0.2">
      <c r="E16"/>
      <c r="F16" s="18" t="s">
        <v>61</v>
      </c>
      <c r="G16" s="14">
        <f>G15/(G6*1000)*60</f>
        <v>1.5</v>
      </c>
      <c r="H16" s="17" t="s">
        <v>27</v>
      </c>
    </row>
    <row r="17" spans="5:11" ht="16" thickBot="1" x14ac:dyDescent="0.25">
      <c r="E17"/>
      <c r="F17" s="18" t="s">
        <v>13</v>
      </c>
      <c r="G17" s="15">
        <f>G7*2*G8/60</f>
        <v>1</v>
      </c>
      <c r="H17" s="17" t="s">
        <v>27</v>
      </c>
      <c r="J17" s="5" t="s">
        <v>54</v>
      </c>
    </row>
    <row r="18" spans="5:11" ht="16" x14ac:dyDescent="0.2">
      <c r="F18" s="18" t="s">
        <v>12</v>
      </c>
      <c r="G18" s="14">
        <f>(G9+G10)*G11/60</f>
        <v>1</v>
      </c>
      <c r="H18" s="17" t="s">
        <v>27</v>
      </c>
      <c r="J18" s="22" t="s">
        <v>55</v>
      </c>
      <c r="K18" s="23" t="s">
        <v>56</v>
      </c>
    </row>
    <row r="19" spans="5:11" ht="16" x14ac:dyDescent="0.2">
      <c r="F19" s="18" t="s">
        <v>11</v>
      </c>
      <c r="G19" s="29">
        <f>G16*(G12/100)</f>
        <v>0.375</v>
      </c>
      <c r="H19" s="17" t="s">
        <v>27</v>
      </c>
      <c r="J19" s="24" t="s">
        <v>57</v>
      </c>
      <c r="K19" s="25">
        <v>1.05</v>
      </c>
    </row>
    <row r="20" spans="5:11" ht="16" x14ac:dyDescent="0.2">
      <c r="F20" s="18" t="s">
        <v>18</v>
      </c>
      <c r="G20" s="30">
        <f>G16+G17+G18+G19</f>
        <v>3.875</v>
      </c>
      <c r="H20" s="17" t="s">
        <v>30</v>
      </c>
      <c r="J20" s="24" t="s">
        <v>58</v>
      </c>
      <c r="K20" s="26">
        <v>1.1000000000000001</v>
      </c>
    </row>
    <row r="21" spans="5:11" ht="16" x14ac:dyDescent="0.2">
      <c r="F21" s="18" t="s">
        <v>4</v>
      </c>
      <c r="G21" s="14">
        <f>G15/(G20/60)/1000</f>
        <v>1.5483870967741935</v>
      </c>
      <c r="H21" s="17" t="s">
        <v>23</v>
      </c>
      <c r="J21" s="24" t="s">
        <v>59</v>
      </c>
      <c r="K21" s="26">
        <v>1.2</v>
      </c>
    </row>
    <row r="22" spans="5:11" ht="17" thickBot="1" x14ac:dyDescent="0.25">
      <c r="F22" s="18" t="s">
        <v>3</v>
      </c>
      <c r="G22" s="14">
        <f>G21*1000/60</f>
        <v>25.806451612903224</v>
      </c>
      <c r="H22" s="17" t="s">
        <v>28</v>
      </c>
      <c r="J22" s="27" t="s">
        <v>60</v>
      </c>
      <c r="K22" s="28">
        <v>1.3</v>
      </c>
    </row>
    <row r="23" spans="5:11" ht="16" thickBot="1" x14ac:dyDescent="0.25">
      <c r="F23" s="19" t="s">
        <v>2</v>
      </c>
      <c r="G23" s="31">
        <f>60/G20</f>
        <v>15.483870967741936</v>
      </c>
      <c r="H23" s="21" t="s">
        <v>29</v>
      </c>
    </row>
    <row r="24" spans="5:11" x14ac:dyDescent="0.2">
      <c r="G24" s="5"/>
    </row>
    <row r="25" spans="5:11" x14ac:dyDescent="0.2">
      <c r="G25" s="5"/>
    </row>
    <row r="26" spans="5:11" ht="19" x14ac:dyDescent="0.2">
      <c r="E26" s="2"/>
      <c r="G26" s="5"/>
    </row>
    <row r="27" spans="5:11" x14ac:dyDescent="0.2">
      <c r="E27" s="6"/>
    </row>
    <row r="28" spans="5:11" x14ac:dyDescent="0.2">
      <c r="E28" s="6"/>
    </row>
    <row r="29" spans="5:11" x14ac:dyDescent="0.2">
      <c r="E29" s="7"/>
    </row>
    <row r="30" spans="5:11" x14ac:dyDescent="0.2">
      <c r="E30" s="6"/>
    </row>
  </sheetData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AGF能力計算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磯崎 啓樹</dc:creator>
  <cp:lastModifiedBy>韓 雨暘</cp:lastModifiedBy>
  <dcterms:created xsi:type="dcterms:W3CDTF">2026-01-11T05:55:30Z</dcterms:created>
  <dcterms:modified xsi:type="dcterms:W3CDTF">2026-02-07T02:20:58Z</dcterms:modified>
</cp:coreProperties>
</file>